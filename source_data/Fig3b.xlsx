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fe\Documents\論文\Droplet World\5th submission\DATA\"/>
    </mc:Choice>
  </mc:AlternateContent>
  <xr:revisionPtr revIDLastSave="0" documentId="8_{243BF733-A5C5-4955-A322-40E6857D1A7F}" xr6:coauthVersionLast="47" xr6:coauthVersionMax="47" xr10:uidLastSave="{00000000-0000-0000-0000-000000000000}"/>
  <bookViews>
    <workbookView xWindow="25410" yWindow="2655" windowWidth="15390" windowHeight="13050" xr2:uid="{4566130B-59BF-4DCB-BE2D-190C1DFE62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3" i="1"/>
  <c r="G3" i="1"/>
  <c r="J3" i="1" s="1"/>
  <c r="J10" i="1" l="1"/>
  <c r="J17" i="1"/>
  <c r="J9" i="1"/>
  <c r="J18" i="1"/>
  <c r="J15" i="1"/>
  <c r="J7" i="1"/>
  <c r="J13" i="1"/>
  <c r="J16" i="1"/>
  <c r="J8" i="1"/>
  <c r="J14" i="1"/>
  <c r="J6" i="1"/>
  <c r="J5" i="1"/>
  <c r="J12" i="1"/>
  <c r="J4" i="1"/>
  <c r="J11" i="1"/>
</calcChain>
</file>

<file path=xl/sharedStrings.xml><?xml version="1.0" encoding="utf-8"?>
<sst xmlns="http://schemas.openxmlformats.org/spreadsheetml/2006/main" count="10" uniqueCount="10">
  <si>
    <t>Count1</t>
    <phoneticPr fontId="1"/>
  </si>
  <si>
    <t>Coumt2</t>
    <phoneticPr fontId="1"/>
  </si>
  <si>
    <t>Count3</t>
    <phoneticPr fontId="1"/>
  </si>
  <si>
    <t>Average</t>
    <phoneticPr fontId="1"/>
  </si>
  <si>
    <t>SD</t>
    <phoneticPr fontId="1"/>
  </si>
  <si>
    <t>Condition</t>
    <phoneticPr fontId="1"/>
  </si>
  <si>
    <t>RelativeAvrg</t>
    <phoneticPr fontId="1"/>
  </si>
  <si>
    <t>[BnSH]/mM</t>
    <phoneticPr fontId="1"/>
  </si>
  <si>
    <t>[Peptide]/mM</t>
    <phoneticPr fontId="1"/>
  </si>
  <si>
    <t>Number of droplets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</si>
</sst>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4" formatCode="0.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" fontId="0" fillId="0" borderId="0" xfId="0" applyNumberFormat="1">
      <alignment vertical="center"/>
    </xf>
    <xf numFmtId="184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48E12-985F-497D-BB84-1EC99026ABEF}">
  <dimension ref="A1:J18"/>
  <sheetViews>
    <sheetView tabSelected="1" workbookViewId="0">
      <selection activeCell="K18" sqref="K18"/>
    </sheetView>
  </sheetViews>
  <sheetFormatPr defaultRowHeight="18.75" x14ac:dyDescent="0.4"/>
  <cols>
    <col min="2" max="2" width="14.125" bestFit="1" customWidth="1"/>
    <col min="3" max="3" width="12.375" bestFit="1" customWidth="1"/>
    <col min="10" max="10" width="12.25" bestFit="1" customWidth="1"/>
  </cols>
  <sheetData>
    <row r="1" spans="1:10" x14ac:dyDescent="0.4">
      <c r="D1" s="3" t="s">
        <v>9</v>
      </c>
      <c r="E1" s="3"/>
      <c r="F1" s="3"/>
    </row>
    <row r="2" spans="1:10" x14ac:dyDescent="0.4">
      <c r="A2" t="s">
        <v>5</v>
      </c>
      <c r="B2" t="s">
        <v>8</v>
      </c>
      <c r="C2" t="s">
        <v>7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J2" t="s">
        <v>6</v>
      </c>
    </row>
    <row r="3" spans="1:10" x14ac:dyDescent="0.4">
      <c r="A3">
        <v>1</v>
      </c>
      <c r="B3">
        <v>10</v>
      </c>
      <c r="C3">
        <v>25</v>
      </c>
      <c r="D3">
        <v>456</v>
      </c>
      <c r="E3">
        <v>566</v>
      </c>
      <c r="F3">
        <v>483</v>
      </c>
      <c r="G3" s="1">
        <f>AVERAGE(D3:F3)</f>
        <v>501.66666666666669</v>
      </c>
      <c r="H3" s="1">
        <f>STDEV(D3:F3)</f>
        <v>57.326549986313786</v>
      </c>
      <c r="J3" s="2">
        <f>100*G3/$G$3</f>
        <v>100</v>
      </c>
    </row>
    <row r="4" spans="1:10" x14ac:dyDescent="0.4">
      <c r="A4">
        <v>2</v>
      </c>
      <c r="B4">
        <v>10</v>
      </c>
      <c r="C4">
        <v>12.5</v>
      </c>
      <c r="D4">
        <v>408</v>
      </c>
      <c r="E4">
        <v>345</v>
      </c>
      <c r="F4">
        <v>468</v>
      </c>
      <c r="G4" s="1">
        <f>AVERAGE(D4:F4)</f>
        <v>407</v>
      </c>
      <c r="H4" s="1">
        <f t="shared" ref="H4:H18" si="0">STDEV(D4:F4)</f>
        <v>61.506097258727124</v>
      </c>
      <c r="J4" s="2">
        <f t="shared" ref="J4:J18" si="1">100*G4/$G$3</f>
        <v>81.129568106312291</v>
      </c>
    </row>
    <row r="5" spans="1:10" x14ac:dyDescent="0.4">
      <c r="A5">
        <v>3</v>
      </c>
      <c r="B5">
        <v>10</v>
      </c>
      <c r="C5">
        <v>6.25</v>
      </c>
      <c r="D5">
        <v>210</v>
      </c>
      <c r="E5">
        <v>222</v>
      </c>
      <c r="F5">
        <v>232</v>
      </c>
      <c r="G5" s="1">
        <f t="shared" ref="G5:G18" si="2">AVERAGE(D5:F5)</f>
        <v>221.33333333333334</v>
      </c>
      <c r="H5" s="1">
        <f t="shared" si="0"/>
        <v>11.015141094572204</v>
      </c>
      <c r="J5" s="2">
        <f t="shared" si="1"/>
        <v>44.119601328903656</v>
      </c>
    </row>
    <row r="6" spans="1:10" x14ac:dyDescent="0.4">
      <c r="A6">
        <v>4</v>
      </c>
      <c r="B6">
        <v>10</v>
      </c>
      <c r="C6">
        <v>0</v>
      </c>
      <c r="D6">
        <v>227</v>
      </c>
      <c r="E6">
        <v>198</v>
      </c>
      <c r="F6">
        <v>145</v>
      </c>
      <c r="G6" s="1">
        <f t="shared" si="2"/>
        <v>190</v>
      </c>
      <c r="H6" s="1">
        <f t="shared" si="0"/>
        <v>41.581245772583578</v>
      </c>
      <c r="J6" s="2">
        <f t="shared" si="1"/>
        <v>37.873754152823921</v>
      </c>
    </row>
    <row r="7" spans="1:10" x14ac:dyDescent="0.4">
      <c r="A7">
        <v>5</v>
      </c>
      <c r="B7">
        <v>1</v>
      </c>
      <c r="C7">
        <v>25</v>
      </c>
      <c r="D7">
        <v>92</v>
      </c>
      <c r="E7">
        <v>99</v>
      </c>
      <c r="F7">
        <v>90</v>
      </c>
      <c r="G7" s="1">
        <f t="shared" si="2"/>
        <v>93.666666666666671</v>
      </c>
      <c r="H7" s="1">
        <f t="shared" si="0"/>
        <v>4.7258156262526079</v>
      </c>
      <c r="J7" s="2">
        <f t="shared" si="1"/>
        <v>18.67109634551495</v>
      </c>
    </row>
    <row r="8" spans="1:10" x14ac:dyDescent="0.4">
      <c r="A8">
        <v>6</v>
      </c>
      <c r="B8">
        <v>1</v>
      </c>
      <c r="C8">
        <v>12.5</v>
      </c>
      <c r="D8">
        <v>76</v>
      </c>
      <c r="E8">
        <v>76</v>
      </c>
      <c r="F8">
        <v>109</v>
      </c>
      <c r="G8" s="1">
        <f t="shared" si="2"/>
        <v>87</v>
      </c>
      <c r="H8" s="1">
        <f t="shared" si="0"/>
        <v>19.05255888325765</v>
      </c>
      <c r="J8" s="2">
        <f t="shared" si="1"/>
        <v>17.342192691029901</v>
      </c>
    </row>
    <row r="9" spans="1:10" x14ac:dyDescent="0.4">
      <c r="A9">
        <v>7</v>
      </c>
      <c r="B9">
        <v>1</v>
      </c>
      <c r="C9">
        <v>6.25</v>
      </c>
      <c r="D9">
        <v>89</v>
      </c>
      <c r="E9">
        <v>88</v>
      </c>
      <c r="F9">
        <v>38</v>
      </c>
      <c r="G9" s="1">
        <f t="shared" si="2"/>
        <v>71.666666666666671</v>
      </c>
      <c r="H9" s="1">
        <f t="shared" si="0"/>
        <v>29.160475533388222</v>
      </c>
      <c r="J9" s="2">
        <f t="shared" si="1"/>
        <v>14.285714285714286</v>
      </c>
    </row>
    <row r="10" spans="1:10" x14ac:dyDescent="0.4">
      <c r="A10">
        <v>8</v>
      </c>
      <c r="B10">
        <v>1</v>
      </c>
      <c r="C10">
        <v>0</v>
      </c>
      <c r="D10">
        <v>11</v>
      </c>
      <c r="E10">
        <v>20</v>
      </c>
      <c r="F10">
        <v>5</v>
      </c>
      <c r="G10" s="1">
        <f t="shared" si="2"/>
        <v>12</v>
      </c>
      <c r="H10" s="1">
        <f t="shared" si="0"/>
        <v>7.5498344352707498</v>
      </c>
      <c r="J10" s="2">
        <f t="shared" si="1"/>
        <v>2.3920265780730898</v>
      </c>
    </row>
    <row r="11" spans="1:10" x14ac:dyDescent="0.4">
      <c r="A11">
        <v>9</v>
      </c>
      <c r="B11">
        <v>0.1</v>
      </c>
      <c r="C11">
        <v>25</v>
      </c>
      <c r="D11">
        <v>1</v>
      </c>
      <c r="E11">
        <v>4</v>
      </c>
      <c r="F11">
        <v>2</v>
      </c>
      <c r="G11" s="1">
        <f t="shared" si="2"/>
        <v>2.3333333333333335</v>
      </c>
      <c r="H11" s="1">
        <f t="shared" si="0"/>
        <v>1.5275252316519468</v>
      </c>
      <c r="J11" s="2">
        <f t="shared" si="1"/>
        <v>0.46511627906976744</v>
      </c>
    </row>
    <row r="12" spans="1:10" x14ac:dyDescent="0.4">
      <c r="A12">
        <v>10</v>
      </c>
      <c r="B12">
        <v>0.1</v>
      </c>
      <c r="C12">
        <v>12.5</v>
      </c>
      <c r="D12">
        <v>5</v>
      </c>
      <c r="E12">
        <v>2</v>
      </c>
      <c r="F12">
        <v>5</v>
      </c>
      <c r="G12" s="1">
        <f t="shared" si="2"/>
        <v>4</v>
      </c>
      <c r="H12" s="1">
        <f t="shared" si="0"/>
        <v>1.7320508075688772</v>
      </c>
      <c r="J12" s="2">
        <f t="shared" si="1"/>
        <v>0.79734219269102991</v>
      </c>
    </row>
    <row r="13" spans="1:10" x14ac:dyDescent="0.4">
      <c r="A13">
        <v>11</v>
      </c>
      <c r="B13">
        <v>0.1</v>
      </c>
      <c r="C13">
        <v>6.25</v>
      </c>
      <c r="D13">
        <v>3</v>
      </c>
      <c r="E13">
        <v>5</v>
      </c>
      <c r="F13">
        <v>1</v>
      </c>
      <c r="G13" s="1">
        <f t="shared" si="2"/>
        <v>3</v>
      </c>
      <c r="H13" s="1">
        <f t="shared" si="0"/>
        <v>2</v>
      </c>
      <c r="J13" s="2">
        <f t="shared" si="1"/>
        <v>0.59800664451827246</v>
      </c>
    </row>
    <row r="14" spans="1:10" x14ac:dyDescent="0.4">
      <c r="A14">
        <v>12</v>
      </c>
      <c r="B14">
        <v>0.1</v>
      </c>
      <c r="C14">
        <v>0</v>
      </c>
      <c r="D14">
        <v>5</v>
      </c>
      <c r="E14">
        <v>5</v>
      </c>
      <c r="F14">
        <v>1</v>
      </c>
      <c r="G14" s="1">
        <f t="shared" si="2"/>
        <v>3.6666666666666665</v>
      </c>
      <c r="H14" s="1">
        <f t="shared" si="0"/>
        <v>2.3094010767585029</v>
      </c>
      <c r="J14" s="2">
        <f t="shared" si="1"/>
        <v>0.73089700996677731</v>
      </c>
    </row>
    <row r="15" spans="1:10" x14ac:dyDescent="0.4">
      <c r="A15">
        <v>13</v>
      </c>
      <c r="B15">
        <v>0</v>
      </c>
      <c r="C15">
        <v>25</v>
      </c>
      <c r="D15">
        <v>12</v>
      </c>
      <c r="E15">
        <v>5</v>
      </c>
      <c r="F15">
        <v>4</v>
      </c>
      <c r="G15" s="1">
        <f t="shared" si="2"/>
        <v>7</v>
      </c>
      <c r="H15" s="1">
        <f t="shared" si="0"/>
        <v>4.358898943540674</v>
      </c>
      <c r="J15" s="2">
        <f t="shared" si="1"/>
        <v>1.3953488372093024</v>
      </c>
    </row>
    <row r="16" spans="1:10" x14ac:dyDescent="0.4">
      <c r="A16">
        <v>14</v>
      </c>
      <c r="B16">
        <v>0</v>
      </c>
      <c r="C16">
        <v>12.5</v>
      </c>
      <c r="D16">
        <v>8</v>
      </c>
      <c r="E16">
        <v>1</v>
      </c>
      <c r="F16">
        <v>5</v>
      </c>
      <c r="G16" s="1">
        <f t="shared" si="2"/>
        <v>4.666666666666667</v>
      </c>
      <c r="H16" s="1">
        <f t="shared" si="0"/>
        <v>3.5118845842842465</v>
      </c>
      <c r="J16" s="2">
        <f t="shared" si="1"/>
        <v>0.93023255813953487</v>
      </c>
    </row>
    <row r="17" spans="1:10" x14ac:dyDescent="0.4">
      <c r="A17">
        <v>15</v>
      </c>
      <c r="B17">
        <v>0</v>
      </c>
      <c r="C17">
        <v>6.25</v>
      </c>
      <c r="D17">
        <v>0</v>
      </c>
      <c r="E17">
        <v>7</v>
      </c>
      <c r="F17">
        <v>4</v>
      </c>
      <c r="G17" s="1">
        <f t="shared" si="2"/>
        <v>3.6666666666666665</v>
      </c>
      <c r="H17" s="1">
        <f t="shared" si="0"/>
        <v>3.5118845842842461</v>
      </c>
      <c r="J17" s="2">
        <f t="shared" si="1"/>
        <v>0.73089700996677731</v>
      </c>
    </row>
    <row r="18" spans="1:10" x14ac:dyDescent="0.4">
      <c r="A18">
        <v>16</v>
      </c>
      <c r="B18">
        <v>0</v>
      </c>
      <c r="C18">
        <v>0</v>
      </c>
      <c r="D18">
        <v>1</v>
      </c>
      <c r="E18">
        <v>0</v>
      </c>
      <c r="F18">
        <v>0</v>
      </c>
      <c r="G18" s="1">
        <f t="shared" si="2"/>
        <v>0.33333333333333331</v>
      </c>
      <c r="H18" s="1">
        <f t="shared" si="0"/>
        <v>0.57735026918962584</v>
      </c>
      <c r="J18" s="2">
        <f t="shared" si="1"/>
        <v>6.6445182724252483E-2</v>
      </c>
    </row>
  </sheetData>
  <mergeCells count="1">
    <mergeCell ref="D1:F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MUNEYUKI MATSUO</dc:creator>
  <cp:lastModifiedBy>MUNEYUKI MATSUO</cp:lastModifiedBy>
  <dcterms:created xsi:type="dcterms:W3CDTF">2020-10-20T21:44:59Z</dcterms:created>
  <dcterms:modified xsi:type="dcterms:W3CDTF">2021-06-13T01:42:24Z</dcterms:modified>
</cp:coreProperties>
</file>